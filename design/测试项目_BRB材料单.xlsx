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B材料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mm钢板&quot;"/>
    <numFmt numFmtId="165" formatCode="0&quot;方管&quot;"/>
    <numFmt numFmtId="166" formatCode="0&quot;mm厚&quot;"/>
    <numFmt numFmtId="167" formatCode="&quot;总长&quot;0&quot;mm&quot;"/>
    <numFmt numFmtId="168" formatCode="&quot;备&quot;0&quot;根12米&quot;"/>
    <numFmt numFmtId="169" formatCode="&quot;共&quot;0&quot;件BRB产品&quot;"/>
  </numFmts>
  <fonts count="3">
    <font>
      <name val="Calibri"/>
      <family val="2"/>
      <color theme="1"/>
      <sz val="11"/>
      <scheme val="minor"/>
    </font>
    <font>
      <name val="宋体"/>
      <sz val="16"/>
    </font>
    <font>
      <name val="宋体"/>
      <sz val="12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bottom" wrapText="1"/>
    </xf>
    <xf numFmtId="0" fontId="0" fillId="2" borderId="1" pivotButton="0" quotePrefix="0" xfId="0"/>
    <xf numFmtId="0" fontId="2" fillId="2" borderId="2" applyAlignment="1" pivotButton="0" quotePrefix="0" xfId="0">
      <alignment horizontal="right" vertical="center"/>
    </xf>
    <xf numFmtId="0" fontId="0" fillId="2" borderId="2" pivotButton="0" quotePrefix="0" xfId="0"/>
    <xf numFmtId="0" fontId="2" fillId="0" borderId="3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65" fontId="2" fillId="0" borderId="3" applyAlignment="1" pivotButton="0" quotePrefix="0" xfId="0">
      <alignment horizontal="center" vertical="center" wrapText="1"/>
    </xf>
    <xf numFmtId="166" fontId="2" fillId="0" borderId="3" applyAlignment="1" pivotButton="0" quotePrefix="0" xfId="0">
      <alignment horizontal="center" vertical="center" wrapText="1"/>
    </xf>
    <xf numFmtId="167" fontId="2" fillId="0" borderId="3" applyAlignment="1" pivotButton="0" quotePrefix="0" xfId="0">
      <alignment horizontal="center" vertical="center" wrapText="1"/>
    </xf>
    <xf numFmtId="168" fontId="2" fillId="0" borderId="3" applyAlignment="1" pivotButton="0" quotePrefix="0" xfId="0">
      <alignment horizontal="center" vertical="center" wrapText="1"/>
    </xf>
    <xf numFmtId="169" fontId="2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6.25" customWidth="1" min="1" max="1"/>
    <col width="9" customWidth="1" min="2" max="2"/>
    <col width="7.87" customWidth="1" min="3" max="3"/>
    <col width="8.119999999999999" customWidth="1" min="4" max="4"/>
    <col width="5.12" customWidth="1" min="5" max="5"/>
    <col width="6.12" customWidth="1" min="6" max="6"/>
    <col width="9" customWidth="1" min="7" max="7"/>
    <col width="5.62" customWidth="1" min="8" max="8"/>
    <col width="9.369999999999999" customWidth="1" min="9" max="9"/>
    <col width="11.62" customWidth="1" min="10" max="10"/>
    <col width="9.119999999999999" customWidth="1" min="11" max="11"/>
  </cols>
  <sheetData>
    <row r="1" ht="35" customHeight="1">
      <c r="A1" s="1" t="inlineStr">
        <is>
          <t>测试项目BRB材料单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>
      <c r="A2" s="3" t="inlineStr">
        <is>
          <t>2025年12月25日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5" customHeight="1">
      <c r="A3" s="5" t="inlineStr">
        <is>
          <t>序号</t>
        </is>
      </c>
      <c r="B3" s="5" t="inlineStr">
        <is>
          <t>型号</t>
        </is>
      </c>
      <c r="C3" s="5" t="n"/>
      <c r="D3" s="5" t="inlineStr">
        <is>
          <t>名称</t>
        </is>
      </c>
      <c r="E3" s="5" t="inlineStr">
        <is>
          <t>规格</t>
        </is>
      </c>
      <c r="F3" s="5" t="n"/>
      <c r="G3" s="5" t="n"/>
      <c r="H3" s="5" t="inlineStr">
        <is>
          <t>数量</t>
        </is>
      </c>
      <c r="I3" s="5" t="inlineStr">
        <is>
          <t>单重(Kg)</t>
        </is>
      </c>
      <c r="J3" s="5" t="inlineStr">
        <is>
          <t>总重(Kg)</t>
        </is>
      </c>
      <c r="K3" s="5" t="inlineStr">
        <is>
          <t>备注</t>
        </is>
      </c>
    </row>
    <row r="4" ht="28.5" customHeight="1">
      <c r="A4" s="5" t="n"/>
      <c r="B4" s="5" t="inlineStr">
        <is>
          <t>屈服荷载(KN)</t>
        </is>
      </c>
      <c r="C4" s="5" t="inlineStr">
        <is>
          <t>长度(mm)</t>
        </is>
      </c>
      <c r="D4" s="5" t="n"/>
      <c r="E4" s="5" t="inlineStr">
        <is>
          <t>厚</t>
        </is>
      </c>
      <c r="F4" s="5" t="inlineStr">
        <is>
          <t>宽</t>
        </is>
      </c>
      <c r="G4" s="5" t="inlineStr">
        <is>
          <t>长</t>
        </is>
      </c>
      <c r="H4" s="5" t="n"/>
      <c r="I4" s="5" t="n"/>
      <c r="J4" s="5" t="n"/>
      <c r="K4" s="5" t="n"/>
    </row>
    <row r="5" ht="14.25" customHeight="1">
      <c r="A5" s="5" t="inlineStr">
        <is>
          <t>1</t>
        </is>
      </c>
      <c r="B5" s="5" t="inlineStr">
        <is>
          <t>2300</t>
        </is>
      </c>
      <c r="C5" s="5" t="n">
        <v>7800</v>
      </c>
      <c r="D5" s="5" t="inlineStr">
        <is>
          <t>芯板</t>
        </is>
      </c>
      <c r="E5" s="5" t="n">
        <v>16</v>
      </c>
      <c r="F5" s="5" t="n">
        <v>138</v>
      </c>
      <c r="G5" s="5">
        <f>C5</f>
        <v/>
      </c>
      <c r="H5" s="5" t="n">
        <v>2</v>
      </c>
      <c r="I5" s="6">
        <f>E5*F5*G5*0.00000785</f>
        <v/>
      </c>
      <c r="J5" s="6">
        <f>I5*H5</f>
        <v/>
      </c>
      <c r="K5" s="5" t="inlineStr">
        <is>
          <t>Q235</t>
        </is>
      </c>
    </row>
    <row r="6" ht="14.25" customHeight="1">
      <c r="A6" s="5" t="inlineStr">
        <is>
          <t>2</t>
        </is>
      </c>
      <c r="B6" s="5" t="n"/>
      <c r="C6" s="5" t="n"/>
      <c r="D6" s="5" t="inlineStr">
        <is>
          <t>翼缘板1</t>
        </is>
      </c>
      <c r="E6" s="5" t="n">
        <v>16</v>
      </c>
      <c r="F6" s="5" t="n">
        <v>170</v>
      </c>
      <c r="G6" s="5" t="inlineStr">
        <is>
          <t>300</t>
        </is>
      </c>
      <c r="H6" s="5" t="n">
        <v>8</v>
      </c>
      <c r="I6" s="6">
        <f>E6*F6*G6*0.00000785</f>
        <v/>
      </c>
      <c r="J6" s="6">
        <f>I6*H6</f>
        <v/>
      </c>
      <c r="K6" s="5" t="inlineStr">
        <is>
          <t>Q235</t>
        </is>
      </c>
    </row>
    <row r="7" ht="14.25" customHeight="1">
      <c r="A7" s="5" t="inlineStr">
        <is>
          <t>3</t>
        </is>
      </c>
      <c r="B7" s="5" t="n"/>
      <c r="C7" s="5" t="n"/>
      <c r="D7" s="5" t="inlineStr">
        <is>
          <t>翼缘板2</t>
        </is>
      </c>
      <c r="E7" s="5" t="n">
        <v>16</v>
      </c>
      <c r="F7" s="5" t="n">
        <v>77</v>
      </c>
      <c r="G7" s="5" t="inlineStr">
        <is>
          <t>300</t>
        </is>
      </c>
      <c r="H7" s="5" t="n">
        <v>8</v>
      </c>
      <c r="I7" s="6">
        <f>E7*F7*G7*0.00000785</f>
        <v/>
      </c>
      <c r="J7" s="6">
        <f>I7*H7</f>
        <v/>
      </c>
      <c r="K7" s="5" t="inlineStr">
        <is>
          <t>Q235</t>
        </is>
      </c>
    </row>
    <row r="8" ht="14.25" customHeight="1">
      <c r="A8" s="5" t="inlineStr">
        <is>
          <t>4</t>
        </is>
      </c>
      <c r="B8" s="5" t="n"/>
      <c r="C8" s="5" t="n"/>
      <c r="D8" s="5" t="inlineStr">
        <is>
          <t>挡板</t>
        </is>
      </c>
      <c r="E8" s="5" t="n">
        <v>6</v>
      </c>
      <c r="F8" s="5" t="n">
        <v>270</v>
      </c>
      <c r="G8" s="5">
        <f>f8</f>
        <v/>
      </c>
      <c r="H8" s="5" t="n">
        <v>4</v>
      </c>
      <c r="I8" s="6">
        <f>E8*F8*G8*0.00000785</f>
        <v/>
      </c>
      <c r="J8" s="6">
        <f>I8*H8</f>
        <v/>
      </c>
      <c r="K8" s="5" t="inlineStr">
        <is>
          <t>Q235</t>
        </is>
      </c>
    </row>
    <row r="9" ht="14.25" customHeight="1">
      <c r="A9" s="5" t="inlineStr">
        <is>
          <t>5</t>
        </is>
      </c>
      <c r="B9" s="5" t="n"/>
      <c r="C9" s="5" t="n"/>
      <c r="D9" s="5" t="inlineStr">
        <is>
          <t>方管</t>
        </is>
      </c>
      <c r="E9" s="5" t="n">
        <v>5</v>
      </c>
      <c r="F9" s="5" t="n">
        <v>1000</v>
      </c>
      <c r="G9" s="5">
        <f>C5-300</f>
        <v/>
      </c>
      <c r="H9" s="5" t="n">
        <v>2</v>
      </c>
      <c r="I9" s="6">
        <f>E9*F9*G9*0.00000785</f>
        <v/>
      </c>
      <c r="J9" s="6">
        <f>I9*H9</f>
        <v/>
      </c>
      <c r="K9" s="5" t="n"/>
    </row>
    <row r="10" ht="14.25" customHeight="1">
      <c r="A10" s="5" t="inlineStr">
        <is>
          <t>钢材合计：</t>
        </is>
      </c>
      <c r="B10" s="7" t="n"/>
      <c r="C10" s="7" t="n"/>
      <c r="D10" s="7" t="n"/>
      <c r="E10" s="7" t="n"/>
      <c r="F10" s="7" t="n"/>
      <c r="G10" s="7" t="n"/>
      <c r="H10" s="5" t="n"/>
      <c r="I10" s="6">
        <f>J10/2</f>
        <v/>
      </c>
      <c r="J10" s="6">
        <f>SUM(J5:J9)</f>
        <v/>
      </c>
      <c r="K10" s="5" t="inlineStr">
        <is>
          <t>王字</t>
        </is>
      </c>
    </row>
    <row r="11" ht="14.25" customHeight="1">
      <c r="A11" s="5" t="inlineStr">
        <is>
          <t>6</t>
        </is>
      </c>
      <c r="B11" s="5" t="inlineStr">
        <is>
          <t>灌浆</t>
        </is>
      </c>
      <c r="C11" s="5" t="n"/>
      <c r="D11" s="5" t="n"/>
      <c r="E11" s="5" t="n">
        <v>250</v>
      </c>
      <c r="F11" s="5" t="n">
        <v>250</v>
      </c>
      <c r="G11" s="5">
        <f>C5-300</f>
        <v/>
      </c>
      <c r="H11" s="5" t="n">
        <v>2</v>
      </c>
      <c r="I11" s="6">
        <f>E11*F11*G11*0.00000210</f>
        <v/>
      </c>
      <c r="J11" s="6">
        <f>I11*H11</f>
        <v/>
      </c>
      <c r="K11" s="7" t="n"/>
    </row>
    <row r="12" ht="14.25" customHeight="1">
      <c r="A12" s="5" t="inlineStr">
        <is>
          <t>7</t>
        </is>
      </c>
      <c r="B12" s="5" t="inlineStr">
        <is>
          <t>合计</t>
        </is>
      </c>
      <c r="C12" s="5" t="n"/>
      <c r="D12" s="5" t="n"/>
      <c r="E12" s="5" t="n"/>
      <c r="F12" s="5" t="n"/>
      <c r="G12" s="5" t="n"/>
      <c r="H12" s="5" t="n"/>
      <c r="I12" s="5" t="n"/>
      <c r="J12" s="6">
        <f>SUM(J10:J11)</f>
        <v/>
      </c>
      <c r="K12" s="7" t="n"/>
    </row>
    <row r="13" ht="14.25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15" customHeight="1">
      <c r="A14" s="5" t="inlineStr">
        <is>
          <t>序号</t>
        </is>
      </c>
      <c r="B14" s="5" t="inlineStr">
        <is>
          <t>型号</t>
        </is>
      </c>
      <c r="C14" s="5" t="n"/>
      <c r="D14" s="5" t="inlineStr">
        <is>
          <t>名称</t>
        </is>
      </c>
      <c r="E14" s="5" t="inlineStr">
        <is>
          <t>规格</t>
        </is>
      </c>
      <c r="F14" s="5" t="n"/>
      <c r="G14" s="5" t="n"/>
      <c r="H14" s="5" t="inlineStr">
        <is>
          <t>数量</t>
        </is>
      </c>
      <c r="I14" s="5" t="inlineStr">
        <is>
          <t>单重(Kg)</t>
        </is>
      </c>
      <c r="J14" s="5" t="inlineStr">
        <is>
          <t>总重(Kg)</t>
        </is>
      </c>
      <c r="K14" s="5" t="inlineStr">
        <is>
          <t>备注</t>
        </is>
      </c>
    </row>
    <row r="15" ht="28.5" customHeight="1">
      <c r="A15" s="5" t="n"/>
      <c r="B15" s="5" t="inlineStr">
        <is>
          <t>屈服荷载(KN)</t>
        </is>
      </c>
      <c r="C15" s="5" t="inlineStr">
        <is>
          <t>长度(mm)</t>
        </is>
      </c>
      <c r="D15" s="5" t="n"/>
      <c r="E15" s="5" t="inlineStr">
        <is>
          <t>厚</t>
        </is>
      </c>
      <c r="F15" s="5" t="inlineStr">
        <is>
          <t>宽</t>
        </is>
      </c>
      <c r="G15" s="5" t="inlineStr">
        <is>
          <t>长</t>
        </is>
      </c>
      <c r="H15" s="5" t="n"/>
      <c r="I15" s="5" t="n"/>
      <c r="J15" s="5" t="n"/>
      <c r="K15" s="5" t="n"/>
    </row>
    <row r="16" ht="14.25" customHeight="1">
      <c r="A16" s="5" t="inlineStr">
        <is>
          <t>1</t>
        </is>
      </c>
      <c r="B16" s="5" t="inlineStr">
        <is>
          <t>2300</t>
        </is>
      </c>
      <c r="C16" s="5" t="n">
        <v>1500</v>
      </c>
      <c r="D16" s="5" t="inlineStr">
        <is>
          <t>芯板</t>
        </is>
      </c>
      <c r="E16" s="5" t="n">
        <v>16</v>
      </c>
      <c r="F16" s="5" t="n">
        <v>138</v>
      </c>
      <c r="G16" s="5">
        <f>C16</f>
        <v/>
      </c>
      <c r="H16" s="5" t="n">
        <v>3</v>
      </c>
      <c r="I16" s="6">
        <f>E16*F16*G16*0.00000785</f>
        <v/>
      </c>
      <c r="J16" s="6">
        <f>I16*H16</f>
        <v/>
      </c>
      <c r="K16" s="5" t="inlineStr">
        <is>
          <t>Q235</t>
        </is>
      </c>
    </row>
    <row r="17" ht="14.25" customHeight="1">
      <c r="A17" s="5" t="inlineStr">
        <is>
          <t>2</t>
        </is>
      </c>
      <c r="B17" s="5" t="n"/>
      <c r="C17" s="5" t="n"/>
      <c r="D17" s="5" t="inlineStr">
        <is>
          <t>翼缘板1</t>
        </is>
      </c>
      <c r="E17" s="5" t="n">
        <v>16</v>
      </c>
      <c r="F17" s="5" t="n">
        <v>170</v>
      </c>
      <c r="G17" s="5" t="inlineStr">
        <is>
          <t>300</t>
        </is>
      </c>
      <c r="H17" s="5" t="n">
        <v>12</v>
      </c>
      <c r="I17" s="6">
        <f>E17*F17*G17*0.00000785</f>
        <v/>
      </c>
      <c r="J17" s="6">
        <f>I17*H17</f>
        <v/>
      </c>
      <c r="K17" s="5" t="inlineStr">
        <is>
          <t>Q235</t>
        </is>
      </c>
    </row>
    <row r="18" ht="14.25" customHeight="1">
      <c r="A18" s="5" t="inlineStr">
        <is>
          <t>3</t>
        </is>
      </c>
      <c r="B18" s="5" t="n"/>
      <c r="C18" s="5" t="n"/>
      <c r="D18" s="5" t="inlineStr">
        <is>
          <t>翼缘板2</t>
        </is>
      </c>
      <c r="E18" s="5" t="n">
        <v>16</v>
      </c>
      <c r="F18" s="5" t="n">
        <v>77</v>
      </c>
      <c r="G18" s="5" t="inlineStr">
        <is>
          <t>300</t>
        </is>
      </c>
      <c r="H18" s="5" t="n">
        <v>12</v>
      </c>
      <c r="I18" s="6">
        <f>E18*F18*G18*0.00000785</f>
        <v/>
      </c>
      <c r="J18" s="6">
        <f>I18*H18</f>
        <v/>
      </c>
      <c r="K18" s="5" t="inlineStr">
        <is>
          <t>Q235</t>
        </is>
      </c>
    </row>
    <row r="19" ht="14.25" customHeight="1">
      <c r="A19" s="5" t="inlineStr">
        <is>
          <t>4</t>
        </is>
      </c>
      <c r="B19" s="5" t="n"/>
      <c r="C19" s="5" t="n"/>
      <c r="D19" s="5" t="inlineStr">
        <is>
          <t>挡板</t>
        </is>
      </c>
      <c r="E19" s="5" t="n">
        <v>6</v>
      </c>
      <c r="F19" s="5" t="n">
        <v>270</v>
      </c>
      <c r="G19" s="5">
        <f>f19</f>
        <v/>
      </c>
      <c r="H19" s="5" t="n">
        <v>6</v>
      </c>
      <c r="I19" s="6">
        <f>E19*F19*G19*0.00000785</f>
        <v/>
      </c>
      <c r="J19" s="6">
        <f>I19*H19</f>
        <v/>
      </c>
      <c r="K19" s="5" t="inlineStr">
        <is>
          <t>Q235</t>
        </is>
      </c>
    </row>
    <row r="20" ht="14.25" customHeight="1">
      <c r="A20" s="5" t="inlineStr">
        <is>
          <t>5</t>
        </is>
      </c>
      <c r="B20" s="5" t="n"/>
      <c r="C20" s="5" t="n"/>
      <c r="D20" s="5" t="inlineStr">
        <is>
          <t>方管</t>
        </is>
      </c>
      <c r="E20" s="5" t="n">
        <v>5</v>
      </c>
      <c r="F20" s="5" t="n">
        <v>1000</v>
      </c>
      <c r="G20" s="5">
        <f>C16-300</f>
        <v/>
      </c>
      <c r="H20" s="5" t="n">
        <v>3</v>
      </c>
      <c r="I20" s="6">
        <f>E20*F20*G20*0.00000785</f>
        <v/>
      </c>
      <c r="J20" s="6">
        <f>I20*H20</f>
        <v/>
      </c>
      <c r="K20" s="5" t="n"/>
    </row>
    <row r="21" ht="14.25" customHeight="1">
      <c r="A21" s="5" t="inlineStr">
        <is>
          <t>钢材合计：</t>
        </is>
      </c>
      <c r="B21" s="7" t="n"/>
      <c r="C21" s="7" t="n"/>
      <c r="D21" s="7" t="n"/>
      <c r="E21" s="7" t="n"/>
      <c r="F21" s="7" t="n"/>
      <c r="G21" s="7" t="n"/>
      <c r="H21" s="5" t="n"/>
      <c r="I21" s="6">
        <f>J21/3</f>
        <v/>
      </c>
      <c r="J21" s="6">
        <f>SUM(J16:J20)</f>
        <v/>
      </c>
      <c r="K21" s="5" t="inlineStr">
        <is>
          <t>王字</t>
        </is>
      </c>
    </row>
    <row r="22" ht="14.25" customHeight="1">
      <c r="A22" s="5" t="inlineStr">
        <is>
          <t>6</t>
        </is>
      </c>
      <c r="B22" s="5" t="inlineStr">
        <is>
          <t>灌浆</t>
        </is>
      </c>
      <c r="C22" s="5" t="n"/>
      <c r="D22" s="5" t="n"/>
      <c r="E22" s="5" t="n">
        <v>250</v>
      </c>
      <c r="F22" s="5" t="n">
        <v>250</v>
      </c>
      <c r="G22" s="5">
        <f>C16-300</f>
        <v/>
      </c>
      <c r="H22" s="5" t="n">
        <v>3</v>
      </c>
      <c r="I22" s="6">
        <f>E22*F22*G22*0.00000210</f>
        <v/>
      </c>
      <c r="J22" s="6">
        <f>I22*H22</f>
        <v/>
      </c>
      <c r="K22" s="7" t="n"/>
    </row>
    <row r="23" ht="14.25" customHeight="1">
      <c r="A23" s="5" t="inlineStr">
        <is>
          <t>7</t>
        </is>
      </c>
      <c r="B23" s="5" t="inlineStr">
        <is>
          <t>合计</t>
        </is>
      </c>
      <c r="C23" s="5" t="n"/>
      <c r="D23" s="5" t="n"/>
      <c r="E23" s="5" t="n"/>
      <c r="F23" s="5" t="n"/>
      <c r="G23" s="5" t="n"/>
      <c r="H23" s="5" t="n"/>
      <c r="I23" s="5" t="n"/>
      <c r="J23" s="6">
        <f>SUM(J21:J22)</f>
        <v/>
      </c>
      <c r="K23" s="7" t="n"/>
    </row>
    <row r="24" ht="14.25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15" customHeight="1">
      <c r="A25" s="5" t="inlineStr">
        <is>
          <t>序号</t>
        </is>
      </c>
      <c r="B25" s="5" t="inlineStr">
        <is>
          <t>型号</t>
        </is>
      </c>
      <c r="C25" s="5" t="n"/>
      <c r="D25" s="5" t="inlineStr">
        <is>
          <t>名称</t>
        </is>
      </c>
      <c r="E25" s="5" t="inlineStr">
        <is>
          <t>规格</t>
        </is>
      </c>
      <c r="F25" s="5" t="n"/>
      <c r="G25" s="5" t="n"/>
      <c r="H25" s="5" t="inlineStr">
        <is>
          <t>数量</t>
        </is>
      </c>
      <c r="I25" s="5" t="inlineStr">
        <is>
          <t>单重(Kg)</t>
        </is>
      </c>
      <c r="J25" s="5" t="inlineStr">
        <is>
          <t>总重(Kg)</t>
        </is>
      </c>
      <c r="K25" s="5" t="inlineStr">
        <is>
          <t>备注</t>
        </is>
      </c>
    </row>
    <row r="26" ht="28.5" customHeight="1">
      <c r="A26" s="5" t="n"/>
      <c r="B26" s="5" t="inlineStr">
        <is>
          <t>屈服荷载(KN)</t>
        </is>
      </c>
      <c r="C26" s="5" t="inlineStr">
        <is>
          <t>长度(mm)</t>
        </is>
      </c>
      <c r="D26" s="5" t="n"/>
      <c r="E26" s="5" t="inlineStr">
        <is>
          <t>厚</t>
        </is>
      </c>
      <c r="F26" s="5" t="inlineStr">
        <is>
          <t>宽</t>
        </is>
      </c>
      <c r="G26" s="5" t="inlineStr">
        <is>
          <t>长</t>
        </is>
      </c>
      <c r="H26" s="5" t="n"/>
      <c r="I26" s="5" t="n"/>
      <c r="J26" s="5" t="n"/>
      <c r="K26" s="5" t="n"/>
    </row>
    <row r="27" ht="14.25" customHeight="1">
      <c r="A27" s="5" t="inlineStr">
        <is>
          <t>1</t>
        </is>
      </c>
      <c r="B27" s="5" t="inlineStr">
        <is>
          <t>3000</t>
        </is>
      </c>
      <c r="C27" s="5" t="n">
        <v>2000</v>
      </c>
      <c r="D27" s="5" t="inlineStr">
        <is>
          <t>芯板</t>
        </is>
      </c>
      <c r="E27" s="5" t="n">
        <v>12</v>
      </c>
      <c r="F27" s="5" t="n">
        <v>180</v>
      </c>
      <c r="G27" s="5">
        <f>C27</f>
        <v/>
      </c>
      <c r="H27" s="5" t="n">
        <v>4</v>
      </c>
      <c r="I27" s="6">
        <f>E27*F27*G27*0.00000785</f>
        <v/>
      </c>
      <c r="J27" s="6">
        <f>I27*H27</f>
        <v/>
      </c>
      <c r="K27" s="5" t="inlineStr">
        <is>
          <t>Y160</t>
        </is>
      </c>
    </row>
    <row r="28" ht="14.25" customHeight="1">
      <c r="A28" s="5" t="inlineStr">
        <is>
          <t>2</t>
        </is>
      </c>
      <c r="B28" s="5" t="n"/>
      <c r="C28" s="5" t="n"/>
      <c r="D28" s="5" t="inlineStr">
        <is>
          <t>翼缘板</t>
        </is>
      </c>
      <c r="E28" s="5" t="n">
        <v>12</v>
      </c>
      <c r="F28" s="5" t="n">
        <v>84</v>
      </c>
      <c r="G28" s="5" t="inlineStr">
        <is>
          <t>300</t>
        </is>
      </c>
      <c r="H28" s="5" t="n">
        <v>16</v>
      </c>
      <c r="I28" s="6">
        <f>E28*F28*G28*0.00000785</f>
        <v/>
      </c>
      <c r="J28" s="6">
        <f>I28*H28</f>
        <v/>
      </c>
      <c r="K28" s="5" t="inlineStr">
        <is>
          <t>Y160</t>
        </is>
      </c>
    </row>
    <row r="29" ht="14.25" customHeight="1">
      <c r="A29" s="5" t="inlineStr">
        <is>
          <t>3</t>
        </is>
      </c>
      <c r="B29" s="5" t="n"/>
      <c r="C29" s="5" t="n"/>
      <c r="D29" s="5" t="inlineStr">
        <is>
          <t>挡板</t>
        </is>
      </c>
      <c r="E29" s="5" t="n">
        <v>6</v>
      </c>
      <c r="F29" s="5" t="n">
        <v>160</v>
      </c>
      <c r="G29" s="5">
        <f>f30</f>
        <v/>
      </c>
      <c r="H29" s="5" t="n">
        <v>8</v>
      </c>
      <c r="I29" s="6">
        <f>E29*F29*G29*0.00000785</f>
        <v/>
      </c>
      <c r="J29" s="6">
        <f>I29*H29</f>
        <v/>
      </c>
      <c r="K29" s="5" t="inlineStr">
        <is>
          <t>Q235</t>
        </is>
      </c>
    </row>
    <row r="30" ht="14.25" customHeight="1">
      <c r="A30" s="5" t="inlineStr">
        <is>
          <t>4</t>
        </is>
      </c>
      <c r="B30" s="5" t="n"/>
      <c r="C30" s="5" t="n"/>
      <c r="D30" s="5" t="inlineStr">
        <is>
          <t>方管</t>
        </is>
      </c>
      <c r="E30" s="5" t="n">
        <v>4</v>
      </c>
      <c r="F30" s="5" t="n">
        <v>560</v>
      </c>
      <c r="G30" s="5">
        <f>C27-300</f>
        <v/>
      </c>
      <c r="H30" s="5" t="n">
        <v>4</v>
      </c>
      <c r="I30" s="6">
        <f>E30*F30*G30*0.00000785</f>
        <v/>
      </c>
      <c r="J30" s="6">
        <f>I30*H30</f>
        <v/>
      </c>
      <c r="K30" s="5" t="n"/>
    </row>
    <row r="31" ht="14.25" customHeight="1">
      <c r="A31" s="5" t="inlineStr">
        <is>
          <t>钢材合计：</t>
        </is>
      </c>
      <c r="B31" s="7" t="n"/>
      <c r="C31" s="7" t="n"/>
      <c r="D31" s="7" t="n"/>
      <c r="E31" s="7" t="n"/>
      <c r="F31" s="7" t="n"/>
      <c r="G31" s="7" t="n"/>
      <c r="H31" s="5" t="n"/>
      <c r="I31" s="6">
        <f>J31/4</f>
        <v/>
      </c>
      <c r="J31" s="6">
        <f>SUM(J27:J30)</f>
        <v/>
      </c>
      <c r="K31" s="5" t="inlineStr">
        <is>
          <t>十字</t>
        </is>
      </c>
    </row>
    <row r="32" ht="14.25" customHeight="1">
      <c r="A32" s="5" t="inlineStr">
        <is>
          <t>5</t>
        </is>
      </c>
      <c r="B32" s="5" t="inlineStr">
        <is>
          <t>灌浆</t>
        </is>
      </c>
      <c r="C32" s="5" t="n"/>
      <c r="D32" s="5" t="n"/>
      <c r="E32" s="5" t="n">
        <v>140</v>
      </c>
      <c r="F32" s="5" t="n">
        <v>140</v>
      </c>
      <c r="G32" s="5">
        <f>C27-300</f>
        <v/>
      </c>
      <c r="H32" s="5" t="n">
        <v>4</v>
      </c>
      <c r="I32" s="6">
        <f>E33*F33*G33*0.00000210</f>
        <v/>
      </c>
      <c r="J32" s="6">
        <f>I33*H33</f>
        <v/>
      </c>
      <c r="K32" s="7" t="n"/>
    </row>
    <row r="33" ht="14.25" customHeight="1">
      <c r="A33" s="5" t="inlineStr">
        <is>
          <t>6</t>
        </is>
      </c>
      <c r="B33" s="5" t="inlineStr">
        <is>
          <t>合计</t>
        </is>
      </c>
      <c r="C33" s="5" t="n"/>
      <c r="D33" s="5" t="n"/>
      <c r="E33" s="5" t="n"/>
      <c r="F33" s="5" t="n"/>
      <c r="G33" s="5" t="n"/>
      <c r="H33" s="5" t="n"/>
      <c r="I33" s="5" t="n"/>
      <c r="J33" s="6">
        <f>SUM(J31:J32)</f>
        <v/>
      </c>
      <c r="K33" s="7" t="n"/>
    </row>
    <row r="34" ht="14.25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 ht="15" customHeight="1">
      <c r="A35" s="5" t="inlineStr">
        <is>
          <t>序号</t>
        </is>
      </c>
      <c r="B35" s="5" t="inlineStr">
        <is>
          <t>型号</t>
        </is>
      </c>
      <c r="C35" s="5" t="n"/>
      <c r="D35" s="5" t="inlineStr">
        <is>
          <t>名称</t>
        </is>
      </c>
      <c r="E35" s="5" t="inlineStr">
        <is>
          <t>规格</t>
        </is>
      </c>
      <c r="F35" s="5" t="n"/>
      <c r="G35" s="5" t="n"/>
      <c r="H35" s="5" t="inlineStr">
        <is>
          <t>数量</t>
        </is>
      </c>
      <c r="I35" s="5" t="inlineStr">
        <is>
          <t>单重(Kg)</t>
        </is>
      </c>
      <c r="J35" s="5" t="inlineStr">
        <is>
          <t>总重(Kg)</t>
        </is>
      </c>
      <c r="K35" s="5" t="inlineStr">
        <is>
          <t>备注</t>
        </is>
      </c>
    </row>
    <row r="36" ht="28.5" customHeight="1">
      <c r="A36" s="5" t="n"/>
      <c r="B36" s="5" t="inlineStr">
        <is>
          <t>屈服荷载(KN)</t>
        </is>
      </c>
      <c r="C36" s="5" t="inlineStr">
        <is>
          <t>长度(mm)</t>
        </is>
      </c>
      <c r="D36" s="5" t="n"/>
      <c r="E36" s="5" t="inlineStr">
        <is>
          <t>厚</t>
        </is>
      </c>
      <c r="F36" s="5" t="inlineStr">
        <is>
          <t>宽</t>
        </is>
      </c>
      <c r="G36" s="5" t="inlineStr">
        <is>
          <t>长</t>
        </is>
      </c>
      <c r="H36" s="5" t="n"/>
      <c r="I36" s="5" t="n"/>
      <c r="J36" s="5" t="n"/>
      <c r="K36" s="5" t="n"/>
    </row>
    <row r="37" ht="14.25" customHeight="1">
      <c r="A37" s="5" t="inlineStr">
        <is>
          <t>1</t>
        </is>
      </c>
      <c r="B37" s="5" t="inlineStr">
        <is>
          <t>4000</t>
        </is>
      </c>
      <c r="C37" s="5" t="n">
        <v>2500</v>
      </c>
      <c r="D37" s="5" t="inlineStr">
        <is>
          <t>芯板</t>
        </is>
      </c>
      <c r="E37" s="5" t="n">
        <v>14</v>
      </c>
      <c r="F37" s="5" t="n">
        <v>172</v>
      </c>
      <c r="G37" s="5">
        <f>C37</f>
        <v/>
      </c>
      <c r="H37" s="5" t="n">
        <v>2</v>
      </c>
      <c r="I37" s="6">
        <f>E37*F37*G37*0.00000785</f>
        <v/>
      </c>
      <c r="J37" s="6">
        <f>I37*H37</f>
        <v/>
      </c>
      <c r="K37" s="5" t="inlineStr">
        <is>
          <t>Q235</t>
        </is>
      </c>
    </row>
    <row r="38" ht="14.25" customHeight="1">
      <c r="A38" s="5" t="inlineStr">
        <is>
          <t>2</t>
        </is>
      </c>
      <c r="B38" s="5" t="n"/>
      <c r="C38" s="5" t="n"/>
      <c r="D38" s="5" t="inlineStr">
        <is>
          <t>翼缘板1</t>
        </is>
      </c>
      <c r="E38" s="5" t="n">
        <v>14</v>
      </c>
      <c r="F38" s="5" t="n">
        <v>200</v>
      </c>
      <c r="G38" s="5">
        <f>C37</f>
        <v/>
      </c>
      <c r="H38" s="5" t="n">
        <v>4</v>
      </c>
      <c r="I38" s="6">
        <f>E38*F38*G38*0.00000785</f>
        <v/>
      </c>
      <c r="J38" s="6">
        <f>I38*H38</f>
        <v/>
      </c>
      <c r="K38" s="5" t="inlineStr">
        <is>
          <t>Q235</t>
        </is>
      </c>
    </row>
    <row r="39" ht="14.25" customHeight="1">
      <c r="A39" s="5" t="inlineStr">
        <is>
          <t>3</t>
        </is>
      </c>
      <c r="B39" s="5" t="n"/>
      <c r="C39" s="5" t="n"/>
      <c r="D39" s="5" t="inlineStr">
        <is>
          <t>翼缘板2</t>
        </is>
      </c>
      <c r="E39" s="5" t="n">
        <v>14</v>
      </c>
      <c r="F39" s="5" t="n">
        <v>93</v>
      </c>
      <c r="G39" s="5" t="inlineStr">
        <is>
          <t>300</t>
        </is>
      </c>
      <c r="H39" s="5" t="n">
        <v>8</v>
      </c>
      <c r="I39" s="6">
        <f>E39*F39*G39*0.00000785</f>
        <v/>
      </c>
      <c r="J39" s="6">
        <f>I39*H39</f>
        <v/>
      </c>
      <c r="K39" s="5" t="inlineStr">
        <is>
          <t>Q235</t>
        </is>
      </c>
    </row>
    <row r="40" ht="14.25" customHeight="1">
      <c r="A40" s="5" t="inlineStr">
        <is>
          <t>4</t>
        </is>
      </c>
      <c r="B40" s="5" t="n"/>
      <c r="C40" s="5" t="n"/>
      <c r="D40" s="5" t="inlineStr">
        <is>
          <t>挡板</t>
        </is>
      </c>
      <c r="E40" s="5" t="n">
        <v>6</v>
      </c>
      <c r="F40" s="5" t="n">
        <v>180</v>
      </c>
      <c r="G40" s="5">
        <f>f40</f>
        <v/>
      </c>
      <c r="H40" s="5" t="n">
        <v>4</v>
      </c>
      <c r="I40" s="6">
        <f>E40*F40*G40*0.00000785</f>
        <v/>
      </c>
      <c r="J40" s="6">
        <f>I40*H40</f>
        <v/>
      </c>
      <c r="K40" s="5" t="inlineStr">
        <is>
          <t>Q235</t>
        </is>
      </c>
    </row>
    <row r="41" ht="14.25" customHeight="1">
      <c r="A41" s="5" t="inlineStr">
        <is>
          <t>5</t>
        </is>
      </c>
      <c r="B41" s="5" t="n"/>
      <c r="C41" s="5" t="n"/>
      <c r="D41" s="5" t="inlineStr">
        <is>
          <t>方管</t>
        </is>
      </c>
      <c r="E41" s="5" t="n">
        <v>6</v>
      </c>
      <c r="F41" s="5" t="n">
        <v>640</v>
      </c>
      <c r="G41" s="5">
        <f>C37-300</f>
        <v/>
      </c>
      <c r="H41" s="5" t="n">
        <v>2</v>
      </c>
      <c r="I41" s="6">
        <f>E41*F41*G41*0.00000785</f>
        <v/>
      </c>
      <c r="J41" s="6">
        <f>I41*H41</f>
        <v/>
      </c>
      <c r="K41" s="5" t="n"/>
    </row>
    <row r="42" ht="14.25" customHeight="1">
      <c r="A42" s="5" t="inlineStr">
        <is>
          <t>钢材合计：</t>
        </is>
      </c>
      <c r="B42" s="7" t="n"/>
      <c r="C42" s="7" t="n"/>
      <c r="D42" s="7" t="n"/>
      <c r="E42" s="7" t="n"/>
      <c r="F42" s="7" t="n"/>
      <c r="G42" s="7" t="n"/>
      <c r="H42" s="5" t="n"/>
      <c r="I42" s="6">
        <f>J42/2</f>
        <v/>
      </c>
      <c r="J42" s="6">
        <f>SUM(J37:J41)</f>
        <v/>
      </c>
      <c r="K42" s="5" t="inlineStr">
        <is>
          <t>王字</t>
        </is>
      </c>
    </row>
    <row r="43" ht="14.25" customHeight="1">
      <c r="A43" s="5" t="inlineStr">
        <is>
          <t>6</t>
        </is>
      </c>
      <c r="B43" s="5" t="inlineStr">
        <is>
          <t>灌浆</t>
        </is>
      </c>
      <c r="C43" s="5" t="n"/>
      <c r="D43" s="5" t="n"/>
      <c r="E43" s="5" t="n">
        <v>160</v>
      </c>
      <c r="F43" s="5" t="n">
        <v>160</v>
      </c>
      <c r="G43" s="5">
        <f>C37-300</f>
        <v/>
      </c>
      <c r="H43" s="5" t="n">
        <v>2</v>
      </c>
      <c r="I43" s="6">
        <f>E43*F43*G43*0.00000210</f>
        <v/>
      </c>
      <c r="J43" s="6">
        <f>I43*H43</f>
        <v/>
      </c>
      <c r="K43" s="7" t="n"/>
    </row>
    <row r="44" ht="14.25" customHeight="1">
      <c r="A44" s="5" t="inlineStr">
        <is>
          <t>7</t>
        </is>
      </c>
      <c r="B44" s="5" t="inlineStr">
        <is>
          <t>合计</t>
        </is>
      </c>
      <c r="C44" s="5" t="n"/>
      <c r="D44" s="5" t="n"/>
      <c r="E44" s="5" t="n"/>
      <c r="F44" s="5" t="n"/>
      <c r="G44" s="5" t="n"/>
      <c r="H44" s="5" t="n"/>
      <c r="I44" s="5" t="n"/>
      <c r="J44" s="6">
        <f>SUM(J42:J43)</f>
        <v/>
      </c>
      <c r="K44" s="7" t="n"/>
    </row>
    <row r="45" ht="14.25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 ht="15" customHeight="1">
      <c r="A46" s="5" t="inlineStr">
        <is>
          <t>序号</t>
        </is>
      </c>
      <c r="B46" s="5" t="inlineStr">
        <is>
          <t>型号</t>
        </is>
      </c>
      <c r="C46" s="5" t="n"/>
      <c r="D46" s="5" t="inlineStr">
        <is>
          <t>名称</t>
        </is>
      </c>
      <c r="E46" s="5" t="inlineStr">
        <is>
          <t>规格</t>
        </is>
      </c>
      <c r="F46" s="5" t="n"/>
      <c r="G46" s="5" t="n"/>
      <c r="H46" s="5" t="inlineStr">
        <is>
          <t>数量</t>
        </is>
      </c>
      <c r="I46" s="5" t="inlineStr">
        <is>
          <t>单重(Kg)</t>
        </is>
      </c>
      <c r="J46" s="5" t="inlineStr">
        <is>
          <t>总重(Kg)</t>
        </is>
      </c>
      <c r="K46" s="5" t="inlineStr">
        <is>
          <t>备注</t>
        </is>
      </c>
    </row>
    <row r="47" ht="28.5" customHeight="1">
      <c r="A47" s="5" t="n"/>
      <c r="B47" s="5" t="inlineStr">
        <is>
          <t>屈服荷载(KN)</t>
        </is>
      </c>
      <c r="C47" s="5" t="inlineStr">
        <is>
          <t>长度(mm)</t>
        </is>
      </c>
      <c r="D47" s="5" t="n"/>
      <c r="E47" s="5" t="inlineStr">
        <is>
          <t>厚</t>
        </is>
      </c>
      <c r="F47" s="5" t="inlineStr">
        <is>
          <t>宽</t>
        </is>
      </c>
      <c r="G47" s="5" t="inlineStr">
        <is>
          <t>长</t>
        </is>
      </c>
      <c r="H47" s="5" t="n"/>
      <c r="I47" s="5" t="n"/>
      <c r="J47" s="5" t="n"/>
      <c r="K47" s="5" t="n"/>
    </row>
    <row r="48" ht="14.25" customHeight="1">
      <c r="A48" s="5" t="inlineStr">
        <is>
          <t>1</t>
        </is>
      </c>
      <c r="B48" s="5" t="inlineStr">
        <is>
          <t>4000</t>
        </is>
      </c>
      <c r="C48" s="5" t="n">
        <v>3000</v>
      </c>
      <c r="D48" s="5" t="inlineStr">
        <is>
          <t>芯板</t>
        </is>
      </c>
      <c r="E48" s="5" t="n">
        <v>14</v>
      </c>
      <c r="F48" s="5" t="n">
        <v>172</v>
      </c>
      <c r="G48" s="5">
        <f>C48</f>
        <v/>
      </c>
      <c r="H48" s="5" t="n">
        <v>1</v>
      </c>
      <c r="I48" s="6">
        <f>E48*F48*G48*0.00000785</f>
        <v/>
      </c>
      <c r="J48" s="6">
        <f>I48*H48</f>
        <v/>
      </c>
      <c r="K48" s="5" t="inlineStr">
        <is>
          <t>Q235</t>
        </is>
      </c>
    </row>
    <row r="49" ht="14.25" customHeight="1">
      <c r="A49" s="5" t="inlineStr">
        <is>
          <t>2</t>
        </is>
      </c>
      <c r="B49" s="5" t="n"/>
      <c r="C49" s="5" t="n"/>
      <c r="D49" s="5" t="inlineStr">
        <is>
          <t>翼缘板1</t>
        </is>
      </c>
      <c r="E49" s="5" t="n">
        <v>14</v>
      </c>
      <c r="F49" s="5" t="n">
        <v>200</v>
      </c>
      <c r="G49" s="5">
        <f>C48</f>
        <v/>
      </c>
      <c r="H49" s="5" t="n">
        <v>2</v>
      </c>
      <c r="I49" s="6">
        <f>E49*F49*G49*0.00000785</f>
        <v/>
      </c>
      <c r="J49" s="6">
        <f>I49*H49</f>
        <v/>
      </c>
      <c r="K49" s="5" t="inlineStr">
        <is>
          <t>Q235</t>
        </is>
      </c>
    </row>
    <row r="50" ht="14.25" customHeight="1">
      <c r="A50" s="5" t="inlineStr">
        <is>
          <t>3</t>
        </is>
      </c>
      <c r="B50" s="5" t="n"/>
      <c r="C50" s="5" t="n"/>
      <c r="D50" s="5" t="inlineStr">
        <is>
          <t>翼缘板2</t>
        </is>
      </c>
      <c r="E50" s="5" t="n">
        <v>14</v>
      </c>
      <c r="F50" s="5" t="n">
        <v>93</v>
      </c>
      <c r="G50" s="5" t="inlineStr">
        <is>
          <t>300</t>
        </is>
      </c>
      <c r="H50" s="5" t="n">
        <v>4</v>
      </c>
      <c r="I50" s="6">
        <f>E50*F50*G50*0.00000785</f>
        <v/>
      </c>
      <c r="J50" s="6">
        <f>I50*H50</f>
        <v/>
      </c>
      <c r="K50" s="5" t="inlineStr">
        <is>
          <t>Q235</t>
        </is>
      </c>
    </row>
    <row r="51" ht="14.25" customHeight="1">
      <c r="A51" s="5" t="inlineStr">
        <is>
          <t>4</t>
        </is>
      </c>
      <c r="B51" s="5" t="n"/>
      <c r="C51" s="5" t="n"/>
      <c r="D51" s="5" t="inlineStr">
        <is>
          <t>挡板</t>
        </is>
      </c>
      <c r="E51" s="5" t="n">
        <v>6</v>
      </c>
      <c r="F51" s="5" t="n">
        <v>180</v>
      </c>
      <c r="G51" s="5">
        <f>f51</f>
        <v/>
      </c>
      <c r="H51" s="5" t="n">
        <v>2</v>
      </c>
      <c r="I51" s="6">
        <f>E51*F51*G51*0.00000785</f>
        <v/>
      </c>
      <c r="J51" s="6">
        <f>I51*H51</f>
        <v/>
      </c>
      <c r="K51" s="5" t="inlineStr">
        <is>
          <t>Q235</t>
        </is>
      </c>
    </row>
    <row r="52" ht="14.25" customHeight="1">
      <c r="A52" s="5" t="inlineStr">
        <is>
          <t>5</t>
        </is>
      </c>
      <c r="B52" s="5" t="n"/>
      <c r="C52" s="5" t="n"/>
      <c r="D52" s="5" t="inlineStr">
        <is>
          <t>方管</t>
        </is>
      </c>
      <c r="E52" s="5" t="n">
        <v>6</v>
      </c>
      <c r="F52" s="5" t="n">
        <v>640</v>
      </c>
      <c r="G52" s="5">
        <f>C48-300</f>
        <v/>
      </c>
      <c r="H52" s="5" t="n">
        <v>1</v>
      </c>
      <c r="I52" s="6">
        <f>E52*F52*G52*0.00000785</f>
        <v/>
      </c>
      <c r="J52" s="6">
        <f>I52*H52</f>
        <v/>
      </c>
      <c r="K52" s="5" t="n"/>
    </row>
    <row r="53" ht="14.25" customHeight="1">
      <c r="A53" s="5" t="inlineStr">
        <is>
          <t>钢材合计：</t>
        </is>
      </c>
      <c r="B53" s="7" t="n"/>
      <c r="C53" s="7" t="n"/>
      <c r="D53" s="7" t="n"/>
      <c r="E53" s="7" t="n"/>
      <c r="F53" s="7" t="n"/>
      <c r="G53" s="7" t="n"/>
      <c r="H53" s="5" t="n"/>
      <c r="I53" s="6">
        <f>J53/1</f>
        <v/>
      </c>
      <c r="J53" s="6">
        <f>SUM(J48:J52)</f>
        <v/>
      </c>
      <c r="K53" s="5" t="inlineStr">
        <is>
          <t>王字</t>
        </is>
      </c>
    </row>
    <row r="54" ht="14.25" customHeight="1">
      <c r="A54" s="5" t="inlineStr">
        <is>
          <t>6</t>
        </is>
      </c>
      <c r="B54" s="5" t="inlineStr">
        <is>
          <t>灌浆</t>
        </is>
      </c>
      <c r="C54" s="5" t="n"/>
      <c r="D54" s="5" t="n"/>
      <c r="E54" s="5" t="n">
        <v>160</v>
      </c>
      <c r="F54" s="5" t="n">
        <v>160</v>
      </c>
      <c r="G54" s="5">
        <f>C48-300</f>
        <v/>
      </c>
      <c r="H54" s="5" t="n">
        <v>1</v>
      </c>
      <c r="I54" s="6">
        <f>E54*F54*G54*0.00000210</f>
        <v/>
      </c>
      <c r="J54" s="6">
        <f>I54*H54</f>
        <v/>
      </c>
      <c r="K54" s="7" t="n"/>
    </row>
    <row r="55" ht="14.25" customHeight="1">
      <c r="A55" s="5" t="inlineStr">
        <is>
          <t>7</t>
        </is>
      </c>
      <c r="B55" s="5" t="inlineStr">
        <is>
          <t>合计</t>
        </is>
      </c>
      <c r="C55" s="5" t="n"/>
      <c r="D55" s="5" t="n"/>
      <c r="E55" s="5" t="n"/>
      <c r="F55" s="5" t="n"/>
      <c r="G55" s="5" t="n"/>
      <c r="H55" s="5" t="n"/>
      <c r="I55" s="5" t="n"/>
      <c r="J55" s="6">
        <f>SUM(J53:J54)</f>
        <v/>
      </c>
      <c r="K55" s="7" t="n"/>
    </row>
    <row r="56" ht="14.25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8" ht="25" customHeight="1">
      <c r="A58" s="9" t="inlineStr">
        <is>
          <t>测试项目BRB材料汇总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5" t="inlineStr">
        <is>
          <t>序号</t>
        </is>
      </c>
      <c r="B59" s="5" t="inlineStr">
        <is>
          <t>材料型号</t>
        </is>
      </c>
      <c r="C59" s="5" t="n"/>
      <c r="D59" s="5" t="inlineStr">
        <is>
          <t>总重(kg)</t>
        </is>
      </c>
      <c r="E59" s="5" t="n"/>
      <c r="F59" s="5" t="inlineStr">
        <is>
          <t>备注</t>
        </is>
      </c>
      <c r="G59" s="5" t="n"/>
      <c r="H59" s="5" t="n"/>
      <c r="I59" s="5" t="n"/>
    </row>
    <row r="60">
      <c r="A60" s="5" t="n">
        <v>1</v>
      </c>
      <c r="B60" s="10" t="n">
        <v>6</v>
      </c>
      <c r="C60" s="5" t="n"/>
      <c r="D60" s="6">
        <f>SUMIFS($J:$J,$E:$E,B60,$K:$K,F60)</f>
        <v/>
      </c>
      <c r="E60" s="5" t="n"/>
      <c r="F60" s="5" t="inlineStr">
        <is>
          <t>Q235</t>
        </is>
      </c>
      <c r="G60" s="5" t="n"/>
      <c r="H60" s="5" t="n"/>
      <c r="I60" s="5" t="n"/>
    </row>
    <row r="61">
      <c r="A61" s="5" t="n">
        <v>2</v>
      </c>
      <c r="B61" s="10" t="n">
        <v>14</v>
      </c>
      <c r="C61" s="5" t="n"/>
      <c r="D61" s="6">
        <f>SUMIFS($J:$J,$E:$E,B61,$K:$K,F61)</f>
        <v/>
      </c>
      <c r="E61" s="5" t="n"/>
      <c r="F61" s="5" t="inlineStr">
        <is>
          <t>Q235</t>
        </is>
      </c>
      <c r="G61" s="5" t="n"/>
      <c r="H61" s="5" t="n"/>
      <c r="I61" s="5" t="n"/>
    </row>
    <row r="62">
      <c r="A62" s="5" t="n">
        <v>3</v>
      </c>
      <c r="B62" s="10" t="n">
        <v>16</v>
      </c>
      <c r="C62" s="5" t="n"/>
      <c r="D62" s="6">
        <f>SUMIFS($J:$J,$E:$E,B62,$K:$K,F62)</f>
        <v/>
      </c>
      <c r="E62" s="5" t="n"/>
      <c r="F62" s="5" t="inlineStr">
        <is>
          <t>Q235</t>
        </is>
      </c>
      <c r="G62" s="5" t="n"/>
      <c r="H62" s="5" t="n"/>
      <c r="I62" s="5" t="n"/>
    </row>
    <row r="63">
      <c r="A63" s="5" t="n">
        <v>4</v>
      </c>
      <c r="B63" s="10" t="n">
        <v>12</v>
      </c>
      <c r="C63" s="5" t="n"/>
      <c r="D63" s="6">
        <f>SUMIFS($J:$J,$E:$E,B63,$K:$K,F63)</f>
        <v/>
      </c>
      <c r="E63" s="5" t="n"/>
      <c r="F63" s="5" t="inlineStr">
        <is>
          <t>Y160</t>
        </is>
      </c>
      <c r="G63" s="5" t="n"/>
      <c r="H63" s="5" t="n"/>
      <c r="I63" s="5" t="n"/>
    </row>
    <row r="64">
      <c r="A64" s="5" t="n">
        <v>5</v>
      </c>
      <c r="B64" s="11" t="n">
        <v>140</v>
      </c>
      <c r="C64" s="12" t="n">
        <v>4</v>
      </c>
      <c r="D64" s="6">
        <f>SUMIFS($J:$J,$E:$E,C64,$F:$F,B64*4,$D:$D,"方管")</f>
        <v/>
      </c>
      <c r="E64" s="5" t="n"/>
      <c r="F64" s="13">
        <f>D64/(B64*4*C64)/0.00000785</f>
        <v/>
      </c>
      <c r="G64" s="5" t="n"/>
      <c r="H64" s="14">
        <f>IF(ROUNDUP(F64/12000,0)&lt;3,            ROUNDUP(F64/12000,0),            IF((ROUNDUP(F64/12000,0)*12000-F64)&lt;300,(ROUNDUP(F64/12000,0)+1),ROUNDUP(F64/12000,0)))</f>
        <v/>
      </c>
      <c r="I64" s="5" t="n"/>
    </row>
    <row r="65">
      <c r="A65" s="5" t="n">
        <v>6</v>
      </c>
      <c r="B65" s="11" t="n">
        <v>160</v>
      </c>
      <c r="C65" s="12" t="n">
        <v>6</v>
      </c>
      <c r="D65" s="6">
        <f>SUMIFS($J:$J,$E:$E,C65,$F:$F,B65*4,$D:$D,"方管")</f>
        <v/>
      </c>
      <c r="E65" s="5" t="n"/>
      <c r="F65" s="13">
        <f>D65/(B65*4*C65)/0.00000785</f>
        <v/>
      </c>
      <c r="G65" s="5" t="n"/>
      <c r="H65" s="14">
        <f>IF(ROUNDUP(F65/12000,0)&lt;3,            ROUNDUP(F65/12000,0),            IF((ROUNDUP(F65/12000,0)*12000-F65)&lt;300,(ROUNDUP(F65/12000,0)+1),ROUNDUP(F65/12000,0)))</f>
        <v/>
      </c>
      <c r="I65" s="5" t="n"/>
    </row>
    <row r="66">
      <c r="A66" s="5" t="n">
        <v>7</v>
      </c>
      <c r="B66" s="11" t="n">
        <v>250</v>
      </c>
      <c r="C66" s="12" t="n">
        <v>5</v>
      </c>
      <c r="D66" s="6">
        <f>SUMIFS($J:$J,$E:$E,C66,$F:$F,B66*4,$D:$D,"方管")</f>
        <v/>
      </c>
      <c r="E66" s="5" t="n"/>
      <c r="F66" s="13">
        <f>D66/(B66*4*C66)/0.00000785</f>
        <v/>
      </c>
      <c r="G66" s="5" t="n"/>
      <c r="H66" s="14">
        <f>IF(ROUNDUP(F66/12000,0)&lt;3,            ROUNDUP(F66/12000,0),            IF((ROUNDUP(F66/12000,0)*12000-F66)&lt;300,(ROUNDUP(F66/12000,0)+1),ROUNDUP(F66/12000,0)))</f>
        <v/>
      </c>
      <c r="I66" s="5" t="n"/>
    </row>
    <row r="67">
      <c r="A67" s="5" t="inlineStr">
        <is>
          <t>钢材合计</t>
        </is>
      </c>
      <c r="B67" s="5" t="n"/>
      <c r="C67" s="5" t="n"/>
      <c r="D67" s="6">
        <f>SUM(D60:D66)</f>
        <v/>
      </c>
      <c r="E67" s="5" t="n"/>
      <c r="F67" s="5" t="n"/>
      <c r="G67" s="5" t="n"/>
      <c r="H67" s="5" t="n"/>
      <c r="I67" s="5" t="n"/>
    </row>
    <row r="68">
      <c r="A68" s="5" t="n">
        <v>8</v>
      </c>
      <c r="B68" s="5" t="inlineStr">
        <is>
          <t>灌浆</t>
        </is>
      </c>
      <c r="C68" s="5" t="n"/>
      <c r="D68" s="6">
        <f>SUMIF($B:$B,B68,$J:$J)</f>
        <v/>
      </c>
      <c r="E68" s="5" t="n"/>
      <c r="F68" s="5" t="n"/>
      <c r="G68" s="5" t="n"/>
      <c r="H68" s="5" t="n"/>
      <c r="I68" s="5" t="n"/>
    </row>
    <row r="69">
      <c r="A69" s="5" t="inlineStr">
        <is>
          <t>合计</t>
        </is>
      </c>
      <c r="B69" s="5" t="n"/>
      <c r="C69" s="5" t="n"/>
      <c r="D69" s="6">
        <f>SUM(D67:D68)</f>
        <v/>
      </c>
      <c r="E69" s="5" t="n"/>
      <c r="F69" s="15">
        <f>SUMIF($D:$D,"芯板",$H:$H)</f>
        <v/>
      </c>
      <c r="G69" s="5" t="n"/>
      <c r="H69" s="5" t="n"/>
      <c r="I69" s="5" t="n"/>
    </row>
  </sheetData>
  <mergeCells count="86">
    <mergeCell ref="D60:E60"/>
    <mergeCell ref="F67:I67"/>
    <mergeCell ref="A53:G53"/>
    <mergeCell ref="I3:I4"/>
    <mergeCell ref="B61:C61"/>
    <mergeCell ref="B14:C14"/>
    <mergeCell ref="D61:E61"/>
    <mergeCell ref="F68:I68"/>
    <mergeCell ref="B69:C69"/>
    <mergeCell ref="A2:K2"/>
    <mergeCell ref="F59:I59"/>
    <mergeCell ref="D62:E62"/>
    <mergeCell ref="H65:I65"/>
    <mergeCell ref="I35:I36"/>
    <mergeCell ref="A35:A36"/>
    <mergeCell ref="D64:E64"/>
    <mergeCell ref="A21:G21"/>
    <mergeCell ref="E35:G35"/>
    <mergeCell ref="B63:C63"/>
    <mergeCell ref="B35:C35"/>
    <mergeCell ref="B25:C25"/>
    <mergeCell ref="B3:C3"/>
    <mergeCell ref="A10:G10"/>
    <mergeCell ref="F60:I60"/>
    <mergeCell ref="E46:G46"/>
    <mergeCell ref="K10:K12"/>
    <mergeCell ref="D3:D4"/>
    <mergeCell ref="A46:A47"/>
    <mergeCell ref="K46:K47"/>
    <mergeCell ref="F63:I63"/>
    <mergeCell ref="D66:E66"/>
    <mergeCell ref="F66:G66"/>
    <mergeCell ref="J35:J36"/>
    <mergeCell ref="J25:J26"/>
    <mergeCell ref="K21:K23"/>
    <mergeCell ref="D25:D26"/>
    <mergeCell ref="A67:C67"/>
    <mergeCell ref="H14:H15"/>
    <mergeCell ref="J14:J15"/>
    <mergeCell ref="K3:K4"/>
    <mergeCell ref="F62:I62"/>
    <mergeCell ref="F64:G64"/>
    <mergeCell ref="K42:K44"/>
    <mergeCell ref="F61:I61"/>
    <mergeCell ref="D63:E63"/>
    <mergeCell ref="A1:K1"/>
    <mergeCell ref="D65:E65"/>
    <mergeCell ref="B60:C60"/>
    <mergeCell ref="A14:A15"/>
    <mergeCell ref="H3:H4"/>
    <mergeCell ref="J3:J4"/>
    <mergeCell ref="H66:I66"/>
    <mergeCell ref="D14:D15"/>
    <mergeCell ref="E14:G14"/>
    <mergeCell ref="D67:E67"/>
    <mergeCell ref="H35:H36"/>
    <mergeCell ref="D69:E69"/>
    <mergeCell ref="B62:C62"/>
    <mergeCell ref="B59:C59"/>
    <mergeCell ref="F65:G65"/>
    <mergeCell ref="B46:C46"/>
    <mergeCell ref="D46:D47"/>
    <mergeCell ref="K35:K36"/>
    <mergeCell ref="I25:I26"/>
    <mergeCell ref="K53:K55"/>
    <mergeCell ref="A31:G31"/>
    <mergeCell ref="A25:A26"/>
    <mergeCell ref="H64:I64"/>
    <mergeCell ref="A3:A4"/>
    <mergeCell ref="H46:H47"/>
    <mergeCell ref="F69:I69"/>
    <mergeCell ref="E25:G25"/>
    <mergeCell ref="I14:I15"/>
    <mergeCell ref="K14:K15"/>
    <mergeCell ref="J46:J47"/>
    <mergeCell ref="E3:G3"/>
    <mergeCell ref="A58:I58"/>
    <mergeCell ref="H25:H26"/>
    <mergeCell ref="B68:C68"/>
    <mergeCell ref="D68:E68"/>
    <mergeCell ref="K31:K33"/>
    <mergeCell ref="K25:K26"/>
    <mergeCell ref="D35:D36"/>
    <mergeCell ref="I46:I47"/>
    <mergeCell ref="D59:E59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2025-12-25T04:25:55Z</dcterms:created>
  <dcterms:modified xsi:type="dcterms:W3CDTF">2025-12-25T04:25:55Z</dcterms:modified>
</cp:coreProperties>
</file>